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nkogeo\Desktop\"/>
    </mc:Choice>
  </mc:AlternateContent>
  <bookViews>
    <workbookView xWindow="0" yWindow="0" windowWidth="17220" windowHeight="7650"/>
  </bookViews>
  <sheets>
    <sheet name="Front" sheetId="1" r:id="rId1"/>
    <sheet name="User Info" sheetId="2" r:id="rId2"/>
    <sheet name="Team" sheetId="3" r:id="rId3"/>
    <sheet name="MasterDB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1" l="1"/>
  <c r="K33" i="1" s="1"/>
  <c r="M33" i="1" s="1"/>
  <c r="I38" i="1" l="1"/>
  <c r="K38" i="1" s="1"/>
  <c r="M38" i="1" s="1"/>
  <c r="I28" i="1"/>
  <c r="K28" i="1" s="1"/>
  <c r="M28" i="1" s="1"/>
  <c r="I23" i="1"/>
  <c r="K23" i="1" s="1"/>
  <c r="M23" i="1" s="1"/>
  <c r="K18" i="1"/>
  <c r="M18" i="1" s="1"/>
  <c r="I18" i="1"/>
</calcChain>
</file>

<file path=xl/sharedStrings.xml><?xml version="1.0" encoding="utf-8"?>
<sst xmlns="http://schemas.openxmlformats.org/spreadsheetml/2006/main" count="167" uniqueCount="41">
  <si>
    <t>Activities:</t>
  </si>
  <si>
    <t>Ongoing activities:</t>
  </si>
  <si>
    <t>Activity</t>
  </si>
  <si>
    <t>Volume</t>
  </si>
  <si>
    <t>Start time</t>
  </si>
  <si>
    <t>Pause time</t>
  </si>
  <si>
    <t>Worked time</t>
  </si>
  <si>
    <t>AHT</t>
  </si>
  <si>
    <t>Comments</t>
  </si>
  <si>
    <t xml:space="preserve">User Login </t>
  </si>
  <si>
    <t xml:space="preserve"> Team </t>
  </si>
  <si>
    <t xml:space="preserve"> Activity </t>
  </si>
  <si>
    <t xml:space="preserve"> Start Time</t>
  </si>
  <si>
    <t xml:space="preserve"> End Time </t>
  </si>
  <si>
    <t xml:space="preserve"> Time on pause </t>
  </si>
  <si>
    <t xml:space="preserve"> Total time </t>
  </si>
  <si>
    <t xml:space="preserve"> Average Handle Time </t>
  </si>
  <si>
    <t xml:space="preserve"> Volume </t>
  </si>
  <si>
    <t xml:space="preserve"> Comment</t>
  </si>
  <si>
    <t>Programing</t>
  </si>
  <si>
    <t>Accounting</t>
  </si>
  <si>
    <t>Invesigating</t>
  </si>
  <si>
    <t>Training</t>
  </si>
  <si>
    <t>Planning</t>
  </si>
  <si>
    <t>Toni</t>
  </si>
  <si>
    <t>MasterDB</t>
  </si>
  <si>
    <t xml:space="preserve">User Name </t>
  </si>
  <si>
    <t>User name</t>
  </si>
  <si>
    <t xml:space="preserve"> User Login </t>
  </si>
  <si>
    <t xml:space="preserve"> User Password</t>
  </si>
  <si>
    <t>toni@ingrammicro.com</t>
  </si>
  <si>
    <t>User login</t>
  </si>
  <si>
    <t xml:space="preserve"> Team</t>
  </si>
  <si>
    <t>Payroll</t>
  </si>
  <si>
    <t>Ingram^hero</t>
  </si>
  <si>
    <t>No ideas</t>
  </si>
  <si>
    <t>Very hard</t>
  </si>
  <si>
    <t>Interesting</t>
  </si>
  <si>
    <t>misho@ingrammicro.com</t>
  </si>
  <si>
    <t>Misha</t>
  </si>
  <si>
    <t>Mishencet0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</si>
</sst>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22" fontId="0" fillId="0" borderId="0" xfId="0" applyNumberFormat="1"/>
    <xf numFmtId="22" fontId="0" fillId="0" borderId="0" xfId="0" applyNumberFormat="1" applyBorder="1"/>
    <xf numFmtId="0" fontId="5" fillId="0" borderId="0" xfId="1"/>
    <xf numFmtId="164" fontId="0" fillId="0" borderId="0" xfId="0" applyNumberFormat="1"/>
    <xf numFmtId="0" fontId="1" fillId="0" borderId="0" xfId="0" applyFont="1" applyBorder="1"/>
    <xf numFmtId="22" fontId="1" fillId="0" borderId="0" xfId="0" applyNumberFormat="1" applyFont="1"/>
    <xf numFmtId="14" fontId="0" fillId="0" borderId="0" xfId="0" applyNumberFormat="1"/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22" fontId="0" fillId="0" borderId="9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28576</xdr:colOff>
      <xdr:row>6</xdr:row>
      <xdr:rowOff>180975</xdr:rowOff>
    </xdr:from>
    <xdr:to>
      <xdr:col>13</xdr:col>
      <xdr:colOff>47626</xdr:colOff>
      <xdr:row>9</xdr:row>
      <xdr:rowOff>199636</xdr:rowOff>
    </xdr:to>
    <xdr:pic macro="[0]!Plus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3776" y="1343025"/>
          <a:ext cx="628650" cy="590161"/>
        </a:xfrm>
        <a:prstGeom prst="rect">
          <a:avLst/>
        </a:prstGeom>
      </xdr:spPr>
    </xdr:pic>
    <xdr:clientData/>
  </xdr:twoCellAnchor>
  <xdr:twoCellAnchor>
    <xdr:from>
      <xdr:col>16</xdr:col>
      <xdr:colOff>200025</xdr:colOff>
      <xdr:row>16</xdr:row>
      <xdr:rowOff>161926</xdr:rowOff>
    </xdr:from>
    <xdr:to>
      <xdr:col>16</xdr:col>
      <xdr:colOff>569084</xdr:colOff>
      <xdr:row>19</xdr:row>
      <xdr:rowOff>9526</xdr:rowOff>
    </xdr:to>
    <xdr:pic macro="[0]!Row1Start_Click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3371851"/>
          <a:ext cx="369059" cy="419100"/>
        </a:xfrm>
        <a:prstGeom prst="rect">
          <a:avLst/>
        </a:prstGeom>
        <a:noFill/>
        <a:ln>
          <a:noFill/>
        </a:ln>
        <a:effectLst>
          <a:reflection endPos="0" dir="5400000" sy="-100000" algn="bl" rotWithShape="0"/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17</xdr:col>
      <xdr:colOff>9526</xdr:colOff>
      <xdr:row>16</xdr:row>
      <xdr:rowOff>180976</xdr:rowOff>
    </xdr:from>
    <xdr:to>
      <xdr:col>17</xdr:col>
      <xdr:colOff>368040</xdr:colOff>
      <xdr:row>19</xdr:row>
      <xdr:rowOff>0</xdr:rowOff>
    </xdr:to>
    <xdr:pic macro="[0]!Pause1_Click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72726" y="3390901"/>
          <a:ext cx="358514" cy="390524"/>
        </a:xfrm>
        <a:prstGeom prst="rect">
          <a:avLst/>
        </a:prstGeom>
      </xdr:spPr>
    </xdr:pic>
    <xdr:clientData/>
  </xdr:twoCellAnchor>
  <xdr:twoCellAnchor>
    <xdr:from>
      <xdr:col>17</xdr:col>
      <xdr:colOff>390525</xdr:colOff>
      <xdr:row>16</xdr:row>
      <xdr:rowOff>161926</xdr:rowOff>
    </xdr:from>
    <xdr:to>
      <xdr:col>17</xdr:col>
      <xdr:colOff>790574</xdr:colOff>
      <xdr:row>19</xdr:row>
      <xdr:rowOff>5022</xdr:rowOff>
    </xdr:to>
    <xdr:pic macro="[0]!Stop1_Click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53725" y="3371851"/>
          <a:ext cx="400049" cy="414596"/>
        </a:xfrm>
        <a:prstGeom prst="rect">
          <a:avLst/>
        </a:prstGeom>
      </xdr:spPr>
    </xdr:pic>
    <xdr:clientData/>
  </xdr:twoCellAnchor>
  <xdr:twoCellAnchor>
    <xdr:from>
      <xdr:col>16</xdr:col>
      <xdr:colOff>200025</xdr:colOff>
      <xdr:row>21</xdr:row>
      <xdr:rowOff>180976</xdr:rowOff>
    </xdr:from>
    <xdr:to>
      <xdr:col>16</xdr:col>
      <xdr:colOff>569084</xdr:colOff>
      <xdr:row>24</xdr:row>
      <xdr:rowOff>28576</xdr:rowOff>
    </xdr:to>
    <xdr:pic macro="[0]!Start2_Click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4343401"/>
          <a:ext cx="369059" cy="419100"/>
        </a:xfrm>
        <a:prstGeom prst="rect">
          <a:avLst/>
        </a:prstGeom>
      </xdr:spPr>
    </xdr:pic>
    <xdr:clientData/>
  </xdr:twoCellAnchor>
  <xdr:twoCellAnchor>
    <xdr:from>
      <xdr:col>17</xdr:col>
      <xdr:colOff>9526</xdr:colOff>
      <xdr:row>22</xdr:row>
      <xdr:rowOff>9526</xdr:rowOff>
    </xdr:from>
    <xdr:to>
      <xdr:col>17</xdr:col>
      <xdr:colOff>368040</xdr:colOff>
      <xdr:row>24</xdr:row>
      <xdr:rowOff>19050</xdr:rowOff>
    </xdr:to>
    <xdr:pic macro="[0]!Pause2_Click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72726" y="4362451"/>
          <a:ext cx="358514" cy="390524"/>
        </a:xfrm>
        <a:prstGeom prst="rect">
          <a:avLst/>
        </a:prstGeom>
      </xdr:spPr>
    </xdr:pic>
    <xdr:clientData/>
  </xdr:twoCellAnchor>
  <xdr:twoCellAnchor>
    <xdr:from>
      <xdr:col>17</xdr:col>
      <xdr:colOff>390525</xdr:colOff>
      <xdr:row>21</xdr:row>
      <xdr:rowOff>180976</xdr:rowOff>
    </xdr:from>
    <xdr:to>
      <xdr:col>17</xdr:col>
      <xdr:colOff>790574</xdr:colOff>
      <xdr:row>24</xdr:row>
      <xdr:rowOff>24072</xdr:rowOff>
    </xdr:to>
    <xdr:pic macro="[0]!Stop2_Click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53725" y="4343401"/>
          <a:ext cx="400049" cy="414596"/>
        </a:xfrm>
        <a:prstGeom prst="rect">
          <a:avLst/>
        </a:prstGeom>
      </xdr:spPr>
    </xdr:pic>
    <xdr:clientData/>
  </xdr:twoCellAnchor>
  <xdr:twoCellAnchor>
    <xdr:from>
      <xdr:col>16</xdr:col>
      <xdr:colOff>200025</xdr:colOff>
      <xdr:row>26</xdr:row>
      <xdr:rowOff>180976</xdr:rowOff>
    </xdr:from>
    <xdr:to>
      <xdr:col>16</xdr:col>
      <xdr:colOff>569084</xdr:colOff>
      <xdr:row>29</xdr:row>
      <xdr:rowOff>28576</xdr:rowOff>
    </xdr:to>
    <xdr:pic macro="[0]!Start3_Clic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5295901"/>
          <a:ext cx="369059" cy="419100"/>
        </a:xfrm>
        <a:prstGeom prst="rect">
          <a:avLst/>
        </a:prstGeom>
      </xdr:spPr>
    </xdr:pic>
    <xdr:clientData/>
  </xdr:twoCellAnchor>
  <xdr:twoCellAnchor>
    <xdr:from>
      <xdr:col>17</xdr:col>
      <xdr:colOff>9526</xdr:colOff>
      <xdr:row>27</xdr:row>
      <xdr:rowOff>9526</xdr:rowOff>
    </xdr:from>
    <xdr:to>
      <xdr:col>17</xdr:col>
      <xdr:colOff>368040</xdr:colOff>
      <xdr:row>29</xdr:row>
      <xdr:rowOff>19050</xdr:rowOff>
    </xdr:to>
    <xdr:pic macro="[0]!Pause3_Clic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72726" y="5314951"/>
          <a:ext cx="358514" cy="390524"/>
        </a:xfrm>
        <a:prstGeom prst="rect">
          <a:avLst/>
        </a:prstGeom>
      </xdr:spPr>
    </xdr:pic>
    <xdr:clientData/>
  </xdr:twoCellAnchor>
  <xdr:twoCellAnchor>
    <xdr:from>
      <xdr:col>17</xdr:col>
      <xdr:colOff>390525</xdr:colOff>
      <xdr:row>26</xdr:row>
      <xdr:rowOff>180976</xdr:rowOff>
    </xdr:from>
    <xdr:to>
      <xdr:col>17</xdr:col>
      <xdr:colOff>790574</xdr:colOff>
      <xdr:row>29</xdr:row>
      <xdr:rowOff>24072</xdr:rowOff>
    </xdr:to>
    <xdr:pic macro="[0]!Stop3_Click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53725" y="5295901"/>
          <a:ext cx="400049" cy="414596"/>
        </a:xfrm>
        <a:prstGeom prst="rect">
          <a:avLst/>
        </a:prstGeom>
      </xdr:spPr>
    </xdr:pic>
    <xdr:clientData/>
  </xdr:twoCellAnchor>
  <xdr:twoCellAnchor>
    <xdr:from>
      <xdr:col>16</xdr:col>
      <xdr:colOff>200025</xdr:colOff>
      <xdr:row>32</xdr:row>
      <xdr:rowOff>28575</xdr:rowOff>
    </xdr:from>
    <xdr:to>
      <xdr:col>16</xdr:col>
      <xdr:colOff>569084</xdr:colOff>
      <xdr:row>34</xdr:row>
      <xdr:rowOff>66675</xdr:rowOff>
    </xdr:to>
    <xdr:pic macro="[0]!Start4_Click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6286500"/>
          <a:ext cx="369059" cy="419100"/>
        </a:xfrm>
        <a:prstGeom prst="rect">
          <a:avLst/>
        </a:prstGeom>
      </xdr:spPr>
    </xdr:pic>
    <xdr:clientData/>
  </xdr:twoCellAnchor>
  <xdr:twoCellAnchor>
    <xdr:from>
      <xdr:col>17</xdr:col>
      <xdr:colOff>9526</xdr:colOff>
      <xdr:row>32</xdr:row>
      <xdr:rowOff>47625</xdr:rowOff>
    </xdr:from>
    <xdr:to>
      <xdr:col>17</xdr:col>
      <xdr:colOff>368040</xdr:colOff>
      <xdr:row>34</xdr:row>
      <xdr:rowOff>57149</xdr:rowOff>
    </xdr:to>
    <xdr:pic macro="[0]!Pause4_Click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72726" y="6305550"/>
          <a:ext cx="358514" cy="390524"/>
        </a:xfrm>
        <a:prstGeom prst="rect">
          <a:avLst/>
        </a:prstGeom>
      </xdr:spPr>
    </xdr:pic>
    <xdr:clientData/>
  </xdr:twoCellAnchor>
  <xdr:twoCellAnchor>
    <xdr:from>
      <xdr:col>17</xdr:col>
      <xdr:colOff>390525</xdr:colOff>
      <xdr:row>32</xdr:row>
      <xdr:rowOff>28575</xdr:rowOff>
    </xdr:from>
    <xdr:to>
      <xdr:col>17</xdr:col>
      <xdr:colOff>790574</xdr:colOff>
      <xdr:row>34</xdr:row>
      <xdr:rowOff>62171</xdr:rowOff>
    </xdr:to>
    <xdr:pic macro="[0]!Stop4_Click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53725" y="6286500"/>
          <a:ext cx="400049" cy="414596"/>
        </a:xfrm>
        <a:prstGeom prst="rect">
          <a:avLst/>
        </a:prstGeom>
      </xdr:spPr>
    </xdr:pic>
    <xdr:clientData/>
  </xdr:twoCellAnchor>
  <xdr:twoCellAnchor>
    <xdr:from>
      <xdr:col>16</xdr:col>
      <xdr:colOff>200025</xdr:colOff>
      <xdr:row>37</xdr:row>
      <xdr:rowOff>38100</xdr:rowOff>
    </xdr:from>
    <xdr:to>
      <xdr:col>16</xdr:col>
      <xdr:colOff>569084</xdr:colOff>
      <xdr:row>39</xdr:row>
      <xdr:rowOff>76200</xdr:rowOff>
    </xdr:to>
    <xdr:pic macro="[0]!Start5_Click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7248525"/>
          <a:ext cx="369059" cy="419100"/>
        </a:xfrm>
        <a:prstGeom prst="rect">
          <a:avLst/>
        </a:prstGeom>
      </xdr:spPr>
    </xdr:pic>
    <xdr:clientData/>
  </xdr:twoCellAnchor>
  <xdr:twoCellAnchor>
    <xdr:from>
      <xdr:col>17</xdr:col>
      <xdr:colOff>9526</xdr:colOff>
      <xdr:row>37</xdr:row>
      <xdr:rowOff>57150</xdr:rowOff>
    </xdr:from>
    <xdr:to>
      <xdr:col>17</xdr:col>
      <xdr:colOff>368040</xdr:colOff>
      <xdr:row>39</xdr:row>
      <xdr:rowOff>66674</xdr:rowOff>
    </xdr:to>
    <xdr:pic macro="[0]!Pause5_Click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72726" y="7267575"/>
          <a:ext cx="358514" cy="390524"/>
        </a:xfrm>
        <a:prstGeom prst="rect">
          <a:avLst/>
        </a:prstGeom>
      </xdr:spPr>
    </xdr:pic>
    <xdr:clientData/>
  </xdr:twoCellAnchor>
  <xdr:twoCellAnchor>
    <xdr:from>
      <xdr:col>17</xdr:col>
      <xdr:colOff>390525</xdr:colOff>
      <xdr:row>37</xdr:row>
      <xdr:rowOff>38100</xdr:rowOff>
    </xdr:from>
    <xdr:to>
      <xdr:col>17</xdr:col>
      <xdr:colOff>790574</xdr:colOff>
      <xdr:row>39</xdr:row>
      <xdr:rowOff>71696</xdr:rowOff>
    </xdr:to>
    <xdr:pic macro="[0]!Stop5_Clic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53725" y="7248525"/>
          <a:ext cx="400049" cy="4145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isho@ingrammicro.com" TargetMode="External"/><Relationship Id="rId1" Type="http://schemas.openxmlformats.org/officeDocument/2006/relationships/hyperlink" Target="mailto:toni@ingrammicr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42"/>
  <sheetViews>
    <sheetView showGridLines="0" tabSelected="1" topLeftCell="A14" workbookViewId="0">
      <selection activeCell="G33" sqref="G33:H34"/>
    </sheetView>
  </sheetViews>
  <sheetFormatPr defaultRowHeight="15" x14ac:dyDescent="0.25"/>
  <cols>
    <col min="16" max="16" width="9.28515625" bestFit="1" customWidth="1"/>
    <col min="17" max="17" width="8.28515625" customWidth="1"/>
    <col min="18" max="18" width="24.28515625" customWidth="1"/>
  </cols>
  <sheetData>
    <row r="1" spans="2:18" ht="15.75" thickBot="1" x14ac:dyDescent="0.3"/>
    <row r="2" spans="2:18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6" t="s">
        <v>24</v>
      </c>
      <c r="P2" s="27"/>
      <c r="Q2" s="27"/>
      <c r="R2" s="28"/>
    </row>
    <row r="3" spans="2:18" ht="15.75" thickBot="1" x14ac:dyDescent="0.3"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29"/>
      <c r="P3" s="30"/>
      <c r="Q3" s="30"/>
      <c r="R3" s="31"/>
    </row>
    <row r="4" spans="2:18" x14ac:dyDescent="0.25"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9"/>
      <c r="P4" s="9"/>
      <c r="Q4" s="9"/>
      <c r="R4" s="10"/>
    </row>
    <row r="5" spans="2:18" x14ac:dyDescent="0.25">
      <c r="B5" s="3"/>
      <c r="C5" s="33" t="s">
        <v>0</v>
      </c>
      <c r="D5" s="33"/>
      <c r="E5" s="33"/>
      <c r="F5" s="4"/>
      <c r="G5" s="4"/>
      <c r="H5" s="4"/>
      <c r="I5" s="4"/>
      <c r="J5" s="4"/>
      <c r="K5" s="4"/>
      <c r="L5" s="4"/>
      <c r="M5" s="4"/>
      <c r="N5" s="4"/>
      <c r="O5" s="9"/>
      <c r="P5" s="9"/>
      <c r="Q5" s="9"/>
      <c r="R5" s="10"/>
    </row>
    <row r="6" spans="2:18" x14ac:dyDescent="0.25">
      <c r="B6" s="3"/>
      <c r="C6" s="33"/>
      <c r="D6" s="33"/>
      <c r="E6" s="3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</row>
    <row r="7" spans="2:18" x14ac:dyDescent="0.25"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5"/>
    </row>
    <row r="8" spans="2:18" ht="15" customHeight="1" x14ac:dyDescent="0.25">
      <c r="B8" s="3"/>
      <c r="C8" s="32" t="s">
        <v>19</v>
      </c>
      <c r="D8" s="32"/>
      <c r="E8" s="32" t="s">
        <v>20</v>
      </c>
      <c r="F8" s="32"/>
      <c r="G8" s="32" t="s">
        <v>22</v>
      </c>
      <c r="H8" s="32"/>
      <c r="I8" s="32" t="s">
        <v>21</v>
      </c>
      <c r="J8" s="32"/>
      <c r="K8" s="32" t="s">
        <v>23</v>
      </c>
      <c r="L8" s="32"/>
      <c r="M8" s="11"/>
      <c r="N8" s="11"/>
      <c r="O8" s="11"/>
      <c r="P8" s="11"/>
      <c r="Q8" s="11"/>
      <c r="R8" s="5"/>
    </row>
    <row r="9" spans="2:18" ht="15" customHeight="1" x14ac:dyDescent="0.25">
      <c r="B9" s="3"/>
      <c r="C9" s="32"/>
      <c r="D9" s="32"/>
      <c r="E9" s="32"/>
      <c r="F9" s="32"/>
      <c r="G9" s="32"/>
      <c r="H9" s="32"/>
      <c r="I9" s="32"/>
      <c r="J9" s="32"/>
      <c r="K9" s="32"/>
      <c r="L9" s="32"/>
      <c r="M9" s="11"/>
      <c r="N9" s="11"/>
      <c r="O9" s="11"/>
      <c r="P9" s="11"/>
      <c r="Q9" s="11"/>
      <c r="R9" s="5"/>
    </row>
    <row r="10" spans="2:18" ht="15.75" customHeight="1" x14ac:dyDescent="0.25">
      <c r="B10" s="3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11"/>
      <c r="N10" s="11"/>
      <c r="O10" s="11"/>
      <c r="P10" s="11"/>
      <c r="Q10" s="11"/>
      <c r="R10" s="5"/>
    </row>
    <row r="11" spans="2:18" x14ac:dyDescent="0.25"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5"/>
    </row>
    <row r="12" spans="2:18" x14ac:dyDescent="0.25"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5"/>
    </row>
    <row r="13" spans="2:18" x14ac:dyDescent="0.25">
      <c r="B13" s="3"/>
      <c r="C13" s="23" t="s">
        <v>1</v>
      </c>
      <c r="D13" s="23"/>
      <c r="E13" s="23"/>
      <c r="F13" s="23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5"/>
    </row>
    <row r="14" spans="2:18" x14ac:dyDescent="0.25">
      <c r="B14" s="3"/>
      <c r="C14" s="23"/>
      <c r="D14" s="23"/>
      <c r="E14" s="23"/>
      <c r="F14" s="2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5"/>
    </row>
    <row r="15" spans="2:18" ht="15.75" thickBot="1" x14ac:dyDescent="0.3">
      <c r="B15" s="3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5"/>
    </row>
    <row r="16" spans="2:18" ht="24.75" customHeight="1" x14ac:dyDescent="0.25">
      <c r="B16" s="3"/>
      <c r="C16" s="24" t="s">
        <v>2</v>
      </c>
      <c r="D16" s="25"/>
      <c r="E16" s="24" t="s">
        <v>3</v>
      </c>
      <c r="F16" s="25"/>
      <c r="G16" s="24" t="s">
        <v>4</v>
      </c>
      <c r="H16" s="25"/>
      <c r="I16" s="24" t="s">
        <v>5</v>
      </c>
      <c r="J16" s="25"/>
      <c r="K16" s="24" t="s">
        <v>6</v>
      </c>
      <c r="L16" s="25"/>
      <c r="M16" s="24" t="s">
        <v>7</v>
      </c>
      <c r="N16" s="25"/>
      <c r="O16" s="24" t="s">
        <v>8</v>
      </c>
      <c r="P16" s="25"/>
      <c r="Q16" s="4"/>
      <c r="R16" s="5"/>
    </row>
    <row r="17" spans="2:19" x14ac:dyDescent="0.25">
      <c r="B17" s="3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"/>
      <c r="R17" s="5"/>
      <c r="S17" s="12"/>
    </row>
    <row r="18" spans="2:19" x14ac:dyDescent="0.25">
      <c r="B18" s="3"/>
      <c r="C18" s="19" t="s">
        <v>23</v>
      </c>
      <c r="D18" s="19"/>
      <c r="E18" s="19">
        <v>5</v>
      </c>
      <c r="F18" s="19"/>
      <c r="G18" s="21">
        <v>43134.5705787037</v>
      </c>
      <c r="H18" s="19"/>
      <c r="I18" s="22">
        <f>IF(P21="","",P21/"86400")</f>
        <v>2.943287037037037E-2</v>
      </c>
      <c r="J18" s="22"/>
      <c r="K18" s="22">
        <f ca="1">IF(AND(G18&lt;&gt;"",I18&lt;&gt;""),NOW()-G18-I18,NOW()-G18)</f>
        <v>0.13503148148170482</v>
      </c>
      <c r="L18" s="22"/>
      <c r="M18" s="22">
        <f ca="1">IF(E18&lt;&gt;"",K18/E18,"")</f>
        <v>2.7006296296340965E-2</v>
      </c>
      <c r="N18" s="19"/>
      <c r="O18" s="19" t="s">
        <v>35</v>
      </c>
      <c r="P18" s="19"/>
      <c r="Q18" s="4"/>
      <c r="R18" s="5"/>
    </row>
    <row r="19" spans="2:19" x14ac:dyDescent="0.25">
      <c r="B19" s="3"/>
      <c r="C19" s="19"/>
      <c r="D19" s="19"/>
      <c r="E19" s="19"/>
      <c r="F19" s="19"/>
      <c r="G19" s="19"/>
      <c r="H19" s="19"/>
      <c r="I19" s="22"/>
      <c r="J19" s="22"/>
      <c r="K19" s="22"/>
      <c r="L19" s="22"/>
      <c r="M19" s="19"/>
      <c r="N19" s="19"/>
      <c r="O19" s="19"/>
      <c r="P19" s="19"/>
      <c r="Q19" s="13"/>
      <c r="R19" s="5"/>
    </row>
    <row r="20" spans="2:19" x14ac:dyDescent="0.25">
      <c r="B20" s="3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"/>
      <c r="R20" s="5"/>
    </row>
    <row r="21" spans="2:19" x14ac:dyDescent="0.25">
      <c r="B21" s="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16">
        <v>2543</v>
      </c>
      <c r="Q21" s="17">
        <v>43134.732881944445</v>
      </c>
      <c r="R21" s="5"/>
    </row>
    <row r="22" spans="2:19" x14ac:dyDescent="0.25">
      <c r="B22" s="3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"/>
      <c r="R22" s="5"/>
    </row>
    <row r="23" spans="2:19" x14ac:dyDescent="0.25">
      <c r="B23" s="3"/>
      <c r="C23" s="19" t="s">
        <v>21</v>
      </c>
      <c r="D23" s="19"/>
      <c r="E23" s="19">
        <v>4</v>
      </c>
      <c r="F23" s="19"/>
      <c r="G23" s="21">
        <v>43134.691666666666</v>
      </c>
      <c r="H23" s="19"/>
      <c r="I23" s="22">
        <f>IF(P26="","",P26/"86400")</f>
        <v>6.9444444444444444E-5</v>
      </c>
      <c r="J23" s="22"/>
      <c r="K23" s="22">
        <f ca="1">IF(AND(G23&lt;&gt;"",I23&lt;&gt;""),NOW()-G23-I23,NOW()-G23)</f>
        <v>4.3306944442382603E-2</v>
      </c>
      <c r="L23" s="22"/>
      <c r="M23" s="22">
        <f ca="1">IF(E23&lt;&gt;"",K23/E23,"")</f>
        <v>1.0826736110595651E-2</v>
      </c>
      <c r="N23" s="19"/>
      <c r="O23" s="19"/>
      <c r="P23" s="19"/>
      <c r="Q23" s="4"/>
      <c r="R23" s="5"/>
    </row>
    <row r="24" spans="2:19" x14ac:dyDescent="0.25">
      <c r="B24" s="3"/>
      <c r="C24" s="19"/>
      <c r="D24" s="19"/>
      <c r="E24" s="19"/>
      <c r="F24" s="19"/>
      <c r="G24" s="19"/>
      <c r="H24" s="19"/>
      <c r="I24" s="22"/>
      <c r="J24" s="22"/>
      <c r="K24" s="22"/>
      <c r="L24" s="22"/>
      <c r="M24" s="19"/>
      <c r="N24" s="19"/>
      <c r="O24" s="19"/>
      <c r="P24" s="19"/>
      <c r="Q24" s="4"/>
      <c r="R24" s="5"/>
    </row>
    <row r="25" spans="2:19" x14ac:dyDescent="0.25">
      <c r="B25" s="3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"/>
      <c r="R25" s="5"/>
    </row>
    <row r="26" spans="2:19" x14ac:dyDescent="0.25"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16"/>
      <c r="P26" s="17">
        <v>6</v>
      </c>
      <c r="Q26" s="17"/>
      <c r="R26" s="5"/>
    </row>
    <row r="27" spans="2:19" x14ac:dyDescent="0.25">
      <c r="B27" s="3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"/>
      <c r="R27" s="5"/>
    </row>
    <row r="28" spans="2:19" x14ac:dyDescent="0.25">
      <c r="B28" s="3"/>
      <c r="C28" s="19" t="s">
        <v>22</v>
      </c>
      <c r="D28" s="19"/>
      <c r="E28" s="19">
        <v>12</v>
      </c>
      <c r="F28" s="19"/>
      <c r="G28" s="21">
        <v>43134.69263888889</v>
      </c>
      <c r="H28" s="19"/>
      <c r="I28" s="22">
        <f>IF(P31="","",P31/"86400")</f>
        <v>2.582175925925926E-2</v>
      </c>
      <c r="J28" s="22"/>
      <c r="K28" s="22">
        <f ca="1">IF(AND(G28&lt;&gt;"",I28&lt;&gt;""),NOW()-G28-I28,NOW()-G28)</f>
        <v>1.658240740363167E-2</v>
      </c>
      <c r="L28" s="22"/>
      <c r="M28" s="22">
        <f ca="1">IF(E28&lt;&gt;"",K28/E28,"")</f>
        <v>1.3818672836359725E-3</v>
      </c>
      <c r="N28" s="19"/>
      <c r="O28" s="19" t="s">
        <v>36</v>
      </c>
      <c r="P28" s="19"/>
      <c r="Q28" s="4"/>
      <c r="R28" s="5"/>
    </row>
    <row r="29" spans="2:19" x14ac:dyDescent="0.25">
      <c r="B29" s="3"/>
      <c r="C29" s="19"/>
      <c r="D29" s="19"/>
      <c r="E29" s="19"/>
      <c r="F29" s="19"/>
      <c r="G29" s="19"/>
      <c r="H29" s="19"/>
      <c r="I29" s="22"/>
      <c r="J29" s="22"/>
      <c r="K29" s="22"/>
      <c r="L29" s="22"/>
      <c r="M29" s="19"/>
      <c r="N29" s="19"/>
      <c r="O29" s="19"/>
      <c r="P29" s="19"/>
      <c r="Q29" s="4"/>
      <c r="R29" s="5"/>
    </row>
    <row r="30" spans="2:19" x14ac:dyDescent="0.25">
      <c r="B30" s="3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"/>
      <c r="R30" s="5"/>
    </row>
    <row r="31" spans="2:19" x14ac:dyDescent="0.25"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16">
        <v>2231</v>
      </c>
      <c r="Q31" s="17">
        <v>43134.732800925929</v>
      </c>
      <c r="R31" s="5"/>
    </row>
    <row r="32" spans="2:19" x14ac:dyDescent="0.25">
      <c r="B32" s="3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"/>
      <c r="R32" s="5"/>
    </row>
    <row r="33" spans="2:18" x14ac:dyDescent="0.25">
      <c r="B33" s="3"/>
      <c r="C33" s="19" t="s">
        <v>20</v>
      </c>
      <c r="D33" s="19"/>
      <c r="E33" s="19">
        <v>9</v>
      </c>
      <c r="F33" s="19"/>
      <c r="G33" s="21">
        <v>43134.734953703701</v>
      </c>
      <c r="H33" s="19"/>
      <c r="I33" s="22">
        <f>IF(P36="","",P36/"86400")</f>
        <v>1.1574074074074073E-5</v>
      </c>
      <c r="J33" s="22"/>
      <c r="K33" s="22">
        <f ca="1">IF(AND(G33&lt;&gt;"",I33&lt;&gt;""),NOW()-G33-I33,NOW()-G33)</f>
        <v>7.7777777710084426E-5</v>
      </c>
      <c r="L33" s="22"/>
      <c r="M33" s="22">
        <f ca="1">IF(E33&lt;&gt;"",K33/E33,"")</f>
        <v>8.6419753011204918E-6</v>
      </c>
      <c r="N33" s="19"/>
      <c r="O33" s="19"/>
      <c r="P33" s="19"/>
      <c r="Q33" s="4"/>
      <c r="R33" s="5"/>
    </row>
    <row r="34" spans="2:18" x14ac:dyDescent="0.25">
      <c r="B34" s="3"/>
      <c r="C34" s="19"/>
      <c r="D34" s="19"/>
      <c r="E34" s="19"/>
      <c r="F34" s="19"/>
      <c r="G34" s="19"/>
      <c r="H34" s="19"/>
      <c r="I34" s="22"/>
      <c r="J34" s="22"/>
      <c r="K34" s="22"/>
      <c r="L34" s="22"/>
      <c r="M34" s="19"/>
      <c r="N34" s="19"/>
      <c r="O34" s="19"/>
      <c r="P34" s="19"/>
      <c r="Q34" s="4"/>
      <c r="R34" s="5"/>
    </row>
    <row r="35" spans="2:18" x14ac:dyDescent="0.25">
      <c r="B35" s="3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"/>
      <c r="R35" s="5"/>
    </row>
    <row r="36" spans="2:18" x14ac:dyDescent="0.25"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16">
        <v>1</v>
      </c>
      <c r="Q36" s="17"/>
      <c r="R36" s="5"/>
    </row>
    <row r="37" spans="2:18" x14ac:dyDescent="0.25">
      <c r="B37" s="3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"/>
      <c r="R37" s="5"/>
    </row>
    <row r="38" spans="2:18" x14ac:dyDescent="0.25">
      <c r="B38" s="3"/>
      <c r="C38" s="19" t="s">
        <v>19</v>
      </c>
      <c r="D38" s="19"/>
      <c r="E38" s="19">
        <v>5</v>
      </c>
      <c r="F38" s="19"/>
      <c r="G38" s="21">
        <v>43134.732430555552</v>
      </c>
      <c r="H38" s="19"/>
      <c r="I38" s="22">
        <f>IF(P41="","",P41/"86400")</f>
        <v>2.3148148148148147E-5</v>
      </c>
      <c r="J38" s="22"/>
      <c r="K38" s="22">
        <f ca="1">IF(AND(G38&lt;&gt;"",I38&lt;&gt;""),NOW()-G38-I38,NOW()-G38)</f>
        <v>2.5893518522476641E-3</v>
      </c>
      <c r="L38" s="22"/>
      <c r="M38" s="22">
        <f ca="1">IF(E38&lt;&gt;"",K38/E38,"")</f>
        <v>5.1787037044953284E-4</v>
      </c>
      <c r="N38" s="19"/>
      <c r="O38" s="19"/>
      <c r="P38" s="19"/>
      <c r="Q38" s="4"/>
      <c r="R38" s="5"/>
    </row>
    <row r="39" spans="2:18" x14ac:dyDescent="0.25">
      <c r="B39" s="3"/>
      <c r="C39" s="19"/>
      <c r="D39" s="19"/>
      <c r="E39" s="19"/>
      <c r="F39" s="19"/>
      <c r="G39" s="19"/>
      <c r="H39" s="19"/>
      <c r="I39" s="22"/>
      <c r="J39" s="22"/>
      <c r="K39" s="22"/>
      <c r="L39" s="22"/>
      <c r="M39" s="19"/>
      <c r="N39" s="19"/>
      <c r="O39" s="19"/>
      <c r="P39" s="19"/>
      <c r="Q39" s="4"/>
      <c r="R39" s="5"/>
    </row>
    <row r="40" spans="2:18" x14ac:dyDescent="0.25">
      <c r="B40" s="3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"/>
      <c r="R40" s="5"/>
    </row>
    <row r="41" spans="2:18" x14ac:dyDescent="0.25"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6">
        <v>2</v>
      </c>
      <c r="Q41" s="17"/>
      <c r="R41" s="5"/>
    </row>
    <row r="42" spans="2:18" ht="15.75" thickBot="1" x14ac:dyDescent="0.3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8"/>
    </row>
  </sheetData>
  <mergeCells count="120">
    <mergeCell ref="C13:F14"/>
    <mergeCell ref="C16:D16"/>
    <mergeCell ref="E16:F16"/>
    <mergeCell ref="G16:H16"/>
    <mergeCell ref="I16:J16"/>
    <mergeCell ref="K16:L16"/>
    <mergeCell ref="M16:N16"/>
    <mergeCell ref="O16:P16"/>
    <mergeCell ref="O2:R3"/>
    <mergeCell ref="C8:D10"/>
    <mergeCell ref="E8:F10"/>
    <mergeCell ref="G8:H10"/>
    <mergeCell ref="I8:J10"/>
    <mergeCell ref="K8:L10"/>
    <mergeCell ref="C5:E6"/>
    <mergeCell ref="O20:P20"/>
    <mergeCell ref="C20:D20"/>
    <mergeCell ref="E20:F20"/>
    <mergeCell ref="G20:H20"/>
    <mergeCell ref="I20:J20"/>
    <mergeCell ref="K20:L20"/>
    <mergeCell ref="M20:N20"/>
    <mergeCell ref="O18:P19"/>
    <mergeCell ref="C17:D17"/>
    <mergeCell ref="E17:F17"/>
    <mergeCell ref="G17:H17"/>
    <mergeCell ref="I17:J17"/>
    <mergeCell ref="K17:L17"/>
    <mergeCell ref="M17:N17"/>
    <mergeCell ref="O17:P17"/>
    <mergeCell ref="C18:D19"/>
    <mergeCell ref="E18:F19"/>
    <mergeCell ref="G18:H19"/>
    <mergeCell ref="I18:J19"/>
    <mergeCell ref="K18:L19"/>
    <mergeCell ref="M18:N19"/>
    <mergeCell ref="O22:P22"/>
    <mergeCell ref="C23:D24"/>
    <mergeCell ref="E23:F24"/>
    <mergeCell ref="G23:H24"/>
    <mergeCell ref="I23:J24"/>
    <mergeCell ref="K23:L24"/>
    <mergeCell ref="M23:N24"/>
    <mergeCell ref="O23:P24"/>
    <mergeCell ref="C22:D22"/>
    <mergeCell ref="E22:F22"/>
    <mergeCell ref="G22:H22"/>
    <mergeCell ref="I22:J22"/>
    <mergeCell ref="K22:L22"/>
    <mergeCell ref="M22:N22"/>
    <mergeCell ref="O25:P25"/>
    <mergeCell ref="C27:D27"/>
    <mergeCell ref="E27:F27"/>
    <mergeCell ref="G27:H27"/>
    <mergeCell ref="I27:J27"/>
    <mergeCell ref="K27:L27"/>
    <mergeCell ref="M27:N27"/>
    <mergeCell ref="O27:P27"/>
    <mergeCell ref="C25:D25"/>
    <mergeCell ref="E25:F25"/>
    <mergeCell ref="G25:H25"/>
    <mergeCell ref="I25:J25"/>
    <mergeCell ref="K25:L25"/>
    <mergeCell ref="M25:N25"/>
    <mergeCell ref="O28:P29"/>
    <mergeCell ref="C30:D30"/>
    <mergeCell ref="E30:F30"/>
    <mergeCell ref="G30:H30"/>
    <mergeCell ref="I30:J30"/>
    <mergeCell ref="K30:L30"/>
    <mergeCell ref="M30:N30"/>
    <mergeCell ref="O30:P30"/>
    <mergeCell ref="C28:D29"/>
    <mergeCell ref="E28:F29"/>
    <mergeCell ref="G28:H29"/>
    <mergeCell ref="I28:J29"/>
    <mergeCell ref="K28:L29"/>
    <mergeCell ref="M28:N29"/>
    <mergeCell ref="O32:P32"/>
    <mergeCell ref="C33:D34"/>
    <mergeCell ref="E33:F34"/>
    <mergeCell ref="G33:H34"/>
    <mergeCell ref="I33:J34"/>
    <mergeCell ref="K33:L34"/>
    <mergeCell ref="M33:N34"/>
    <mergeCell ref="O33:P34"/>
    <mergeCell ref="C32:D32"/>
    <mergeCell ref="E32:F32"/>
    <mergeCell ref="G32:H32"/>
    <mergeCell ref="I32:J32"/>
    <mergeCell ref="K32:L32"/>
    <mergeCell ref="M32:N32"/>
    <mergeCell ref="O35:P35"/>
    <mergeCell ref="C37:D37"/>
    <mergeCell ref="E37:F37"/>
    <mergeCell ref="G37:H37"/>
    <mergeCell ref="I37:J37"/>
    <mergeCell ref="K37:L37"/>
    <mergeCell ref="M37:N37"/>
    <mergeCell ref="O37:P37"/>
    <mergeCell ref="C35:D35"/>
    <mergeCell ref="E35:F35"/>
    <mergeCell ref="G35:H35"/>
    <mergeCell ref="I35:J35"/>
    <mergeCell ref="K35:L35"/>
    <mergeCell ref="M35:N35"/>
    <mergeCell ref="O38:P39"/>
    <mergeCell ref="C40:D40"/>
    <mergeCell ref="E40:F40"/>
    <mergeCell ref="G40:H40"/>
    <mergeCell ref="I40:J40"/>
    <mergeCell ref="K40:L40"/>
    <mergeCell ref="M40:N40"/>
    <mergeCell ref="O40:P40"/>
    <mergeCell ref="C38:D39"/>
    <mergeCell ref="E38:F39"/>
    <mergeCell ref="G38:H39"/>
    <mergeCell ref="I38:J39"/>
    <mergeCell ref="K38:L39"/>
    <mergeCell ref="M38:N3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'User Info'!$A$2:$A$1048576</xm:f>
          </x14:formula1>
          <xm:sqref>G23:H24</xm:sqref>
        </x14:dataValidation>
        <x14:dataValidation type="list" allowBlank="1" showInputMessage="1" showErrorMessage="1">
          <x14:formula1>
            <xm:f>'User Info'!$A$2:$A$3</xm:f>
          </x14:formula1>
          <xm:sqref>O2:R3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sqref="A1:A1048576"/>
    </sheetView>
  </sheetViews>
  <sheetFormatPr defaultRowHeight="15" x14ac:dyDescent="0.25"/>
  <cols>
    <col min="1" max="1" width="10.42578125" bestFit="1" customWidth="1"/>
    <col min="2" max="2" width="22.28515625" bestFit="1" customWidth="1"/>
    <col min="3" max="3" width="14.42578125" bestFit="1" customWidth="1"/>
  </cols>
  <sheetData>
    <row r="1" spans="1:3" x14ac:dyDescent="0.25">
      <c r="A1" t="s">
        <v>27</v>
      </c>
      <c r="B1" t="s">
        <v>28</v>
      </c>
      <c r="C1" t="s">
        <v>29</v>
      </c>
    </row>
    <row r="2" spans="1:3" x14ac:dyDescent="0.25">
      <c r="A2" t="s">
        <v>24</v>
      </c>
      <c r="B2" s="14" t="s">
        <v>30</v>
      </c>
      <c r="C2" t="s">
        <v>34</v>
      </c>
    </row>
    <row r="3" spans="1:3" x14ac:dyDescent="0.25">
      <c r="A3" t="s">
        <v>39</v>
      </c>
      <c r="B3" s="14" t="s">
        <v>38</v>
      </c>
      <c r="C3" t="s">
        <v>40</v>
      </c>
    </row>
  </sheetData>
  <hyperlinks>
    <hyperlink ref="B2" r:id="rId1"/>
    <hyperlink ref="B3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sqref="A1:A1048576"/>
    </sheetView>
  </sheetViews>
  <sheetFormatPr defaultRowHeight="15" x14ac:dyDescent="0.25"/>
  <cols>
    <col min="1" max="1" width="9.85546875" bestFit="1" customWidth="1"/>
  </cols>
  <sheetData>
    <row r="1" spans="1:2" x14ac:dyDescent="0.25">
      <c r="A1" t="s">
        <v>31</v>
      </c>
      <c r="B1" t="s">
        <v>32</v>
      </c>
    </row>
    <row r="2" spans="1:2" x14ac:dyDescent="0.25">
      <c r="A2" t="s">
        <v>24</v>
      </c>
      <c r="B2" t="s">
        <v>33</v>
      </c>
    </row>
    <row r="3" spans="1:2" x14ac:dyDescent="0.25">
      <c r="A3" t="s">
        <v>39</v>
      </c>
      <c r="B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"/>
  <sheetViews>
    <sheetView workbookViewId="0">
      <selection activeCell="B24" sqref="B24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6.7109375" bestFit="1" customWidth="1"/>
    <col min="4" max="4" width="8.5703125" bestFit="1" customWidth="1"/>
    <col min="5" max="6" width="15.85546875" bestFit="1" customWidth="1"/>
    <col min="7" max="7" width="14.85546875" style="15" bestFit="1" customWidth="1"/>
    <col min="8" max="8" width="15.85546875" style="15" bestFit="1" customWidth="1"/>
    <col min="9" max="9" width="21" style="15" bestFit="1" customWidth="1"/>
    <col min="10" max="10" width="8.85546875" bestFit="1" customWidth="1"/>
    <col min="11" max="11" width="10.140625" bestFit="1" customWidth="1"/>
  </cols>
  <sheetData>
    <row r="1" spans="1:11" x14ac:dyDescent="0.25">
      <c r="A1" s="34" t="s">
        <v>25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x14ac:dyDescent="0.25">
      <c r="A2" t="s">
        <v>9</v>
      </c>
      <c r="B2" t="s">
        <v>26</v>
      </c>
      <c r="C2" t="s">
        <v>10</v>
      </c>
      <c r="D2" t="s">
        <v>11</v>
      </c>
      <c r="E2" t="s">
        <v>12</v>
      </c>
      <c r="F2" t="s">
        <v>13</v>
      </c>
      <c r="G2" s="15" t="s">
        <v>14</v>
      </c>
      <c r="H2" t="s">
        <v>15</v>
      </c>
      <c r="I2" t="s">
        <v>16</v>
      </c>
      <c r="J2" t="s">
        <v>17</v>
      </c>
      <c r="K2" t="s">
        <v>18</v>
      </c>
    </row>
    <row r="3" spans="1:11" x14ac:dyDescent="0.25">
      <c r="A3" t="s">
        <v>30</v>
      </c>
      <c r="B3" t="s">
        <v>24</v>
      </c>
      <c r="C3" t="s">
        <v>33</v>
      </c>
      <c r="D3" t="s">
        <v>23</v>
      </c>
      <c r="E3" s="12">
        <v>43134.528912037036</v>
      </c>
      <c r="F3" s="12">
        <v>43134.678113425929</v>
      </c>
      <c r="G3" s="15">
        <v>1.3888888888888889E-4</v>
      </c>
      <c r="H3" s="15">
        <v>0.14920138889283407</v>
      </c>
      <c r="I3" s="15">
        <v>2.9812870370314666E-2</v>
      </c>
      <c r="J3">
        <v>5</v>
      </c>
      <c r="K3">
        <v>567766</v>
      </c>
    </row>
    <row r="4" spans="1:11" x14ac:dyDescent="0.25">
      <c r="A4" t="s">
        <v>30</v>
      </c>
      <c r="B4" t="s">
        <v>24</v>
      </c>
      <c r="C4" t="s">
        <v>33</v>
      </c>
      <c r="D4" t="s">
        <v>23</v>
      </c>
      <c r="E4" s="12">
        <v>43134.528912037036</v>
      </c>
      <c r="F4" s="12">
        <v>43134.683229166665</v>
      </c>
      <c r="G4" s="15">
        <v>1.3888888888888889E-4</v>
      </c>
      <c r="H4" s="15">
        <v>0.15431712962890742</v>
      </c>
      <c r="I4" s="15">
        <v>3.0837499999997416E-2</v>
      </c>
      <c r="J4">
        <v>5</v>
      </c>
      <c r="K4">
        <v>567766</v>
      </c>
    </row>
    <row r="5" spans="1:11" x14ac:dyDescent="0.25">
      <c r="A5" t="s">
        <v>30</v>
      </c>
      <c r="B5" t="s">
        <v>24</v>
      </c>
      <c r="C5" t="s">
        <v>33</v>
      </c>
      <c r="D5" t="s">
        <v>21</v>
      </c>
      <c r="E5" s="12">
        <v>43134.691666666666</v>
      </c>
      <c r="F5" s="12">
        <v>43134.70826388889</v>
      </c>
      <c r="G5" s="15">
        <v>5.7870370370370373E-5</v>
      </c>
      <c r="H5" s="15">
        <v>1.6597222223936114E-2</v>
      </c>
      <c r="I5" s="15">
        <v>4.1375578709617169E-3</v>
      </c>
      <c r="J5">
        <v>4</v>
      </c>
    </row>
    <row r="6" spans="1:11" x14ac:dyDescent="0.25">
      <c r="A6" t="s">
        <v>30</v>
      </c>
      <c r="B6" t="s">
        <v>24</v>
      </c>
      <c r="C6" t="s">
        <v>33</v>
      </c>
      <c r="D6" t="s">
        <v>22</v>
      </c>
      <c r="E6" s="12">
        <v>43134.69263888889</v>
      </c>
      <c r="F6" s="12">
        <v>43134.708287037036</v>
      </c>
      <c r="G6" s="15">
        <v>4.6296296296296294E-5</v>
      </c>
      <c r="H6" s="15">
        <v>1.5648148146283347E-2</v>
      </c>
      <c r="I6" s="15">
        <v>1.3010706015771621E-3</v>
      </c>
      <c r="J6">
        <v>12</v>
      </c>
    </row>
    <row r="7" spans="1:11" x14ac:dyDescent="0.25">
      <c r="A7" t="s">
        <v>30</v>
      </c>
      <c r="B7" t="s">
        <v>24</v>
      </c>
      <c r="C7" t="s">
        <v>33</v>
      </c>
      <c r="D7" t="s">
        <v>20</v>
      </c>
      <c r="E7" s="12">
        <v>43134.694328703707</v>
      </c>
      <c r="F7" s="12">
        <v>43134.708310185182</v>
      </c>
      <c r="G7" s="15">
        <v>1.1574074074074075E-4</v>
      </c>
      <c r="H7" s="15">
        <v>1.3981481475639157E-2</v>
      </c>
      <c r="I7" s="15">
        <v>1.9815806878598842E-3</v>
      </c>
      <c r="J7">
        <v>7</v>
      </c>
    </row>
    <row r="8" spans="1:11" x14ac:dyDescent="0.25">
      <c r="A8" t="s">
        <v>30</v>
      </c>
      <c r="B8" t="s">
        <v>24</v>
      </c>
      <c r="C8" t="s">
        <v>33</v>
      </c>
      <c r="D8" t="s">
        <v>19</v>
      </c>
      <c r="E8" s="12">
        <v>43134.694953703707</v>
      </c>
      <c r="F8" s="12">
        <v>43134.708356481482</v>
      </c>
      <c r="G8" s="15">
        <v>4.6296296296296294E-5</v>
      </c>
      <c r="H8" s="15">
        <v>1.3402777774899732E-2</v>
      </c>
      <c r="I8" s="15">
        <v>6.6784143509263502E-3</v>
      </c>
      <c r="J8">
        <v>2</v>
      </c>
    </row>
    <row r="9" spans="1:11" x14ac:dyDescent="0.25">
      <c r="A9" t="s">
        <v>38</v>
      </c>
      <c r="B9" t="s">
        <v>39</v>
      </c>
      <c r="C9" t="s">
        <v>20</v>
      </c>
      <c r="D9" t="s">
        <v>20</v>
      </c>
      <c r="E9" s="12">
        <v>43134.694328703707</v>
      </c>
      <c r="F9" s="12">
        <v>43134.715115740742</v>
      </c>
      <c r="G9" s="15">
        <v>1.1574074074074075E-4</v>
      </c>
      <c r="H9" s="15">
        <v>2.0787037035916001E-2</v>
      </c>
      <c r="I9" s="15">
        <v>2.954563491552127E-3</v>
      </c>
      <c r="J9">
        <v>7</v>
      </c>
    </row>
    <row r="10" spans="1:11" x14ac:dyDescent="0.25">
      <c r="A10" t="s">
        <v>30</v>
      </c>
      <c r="B10" t="s">
        <v>24</v>
      </c>
      <c r="C10" t="s">
        <v>33</v>
      </c>
      <c r="D10" t="s">
        <v>23</v>
      </c>
      <c r="E10" s="12">
        <v>43134.5705787037</v>
      </c>
      <c r="F10" s="12">
        <v>43134.719212962962</v>
      </c>
      <c r="G10" s="15">
        <v>5</v>
      </c>
      <c r="H10" s="15">
        <v>0.14863425926159834</v>
      </c>
      <c r="I10" s="15">
        <v>-0.97027222222095588</v>
      </c>
      <c r="J10">
        <v>5</v>
      </c>
      <c r="K10" t="s">
        <v>35</v>
      </c>
    </row>
    <row r="11" spans="1:11" x14ac:dyDescent="0.25">
      <c r="A11" t="s">
        <v>30</v>
      </c>
      <c r="B11" t="s">
        <v>24</v>
      </c>
      <c r="C11" t="s">
        <v>33</v>
      </c>
      <c r="D11" t="s">
        <v>23</v>
      </c>
      <c r="E11" s="12">
        <v>43134.5705787037</v>
      </c>
      <c r="F11" s="12">
        <v>43134.719733796293</v>
      </c>
      <c r="G11" s="15">
        <v>5.7638888888888887E-3</v>
      </c>
      <c r="H11" s="15">
        <v>0.14915509259299142</v>
      </c>
      <c r="I11" s="15">
        <v>2.8680462963795027E-2</v>
      </c>
      <c r="J11">
        <v>5</v>
      </c>
      <c r="K11" t="s">
        <v>35</v>
      </c>
    </row>
    <row r="12" spans="1:11" x14ac:dyDescent="0.25">
      <c r="A12" t="s">
        <v>30</v>
      </c>
      <c r="B12" t="s">
        <v>24</v>
      </c>
      <c r="C12" t="s">
        <v>33</v>
      </c>
      <c r="D12" t="s">
        <v>21</v>
      </c>
      <c r="E12" s="12">
        <v>43134.691666666666</v>
      </c>
      <c r="F12" s="12">
        <v>43134.719942129632</v>
      </c>
      <c r="G12" s="15">
        <v>3</v>
      </c>
      <c r="H12" s="15">
        <v>2.8275462966121268E-2</v>
      </c>
      <c r="I12" s="15">
        <v>-0.74293038194446126</v>
      </c>
      <c r="J12">
        <v>4</v>
      </c>
    </row>
    <row r="13" spans="1:11" x14ac:dyDescent="0.25">
      <c r="A13" t="s">
        <v>30</v>
      </c>
      <c r="B13" t="s">
        <v>24</v>
      </c>
      <c r="C13" t="s">
        <v>33</v>
      </c>
      <c r="D13" t="s">
        <v>22</v>
      </c>
      <c r="E13" s="12">
        <v>43134.69263888889</v>
      </c>
      <c r="F13" s="12">
        <v>43134.720034722224</v>
      </c>
      <c r="G13" s="15">
        <v>4.6296296296296294E-5</v>
      </c>
      <c r="H13" s="15">
        <v>2.7395833334594499E-2</v>
      </c>
      <c r="I13" s="15">
        <v>2.2796874997386761E-3</v>
      </c>
      <c r="J13">
        <v>12</v>
      </c>
      <c r="K13" t="s">
        <v>36</v>
      </c>
    </row>
    <row r="14" spans="1:11" x14ac:dyDescent="0.25">
      <c r="A14" t="s">
        <v>30</v>
      </c>
      <c r="B14" t="s">
        <v>24</v>
      </c>
      <c r="C14" t="s">
        <v>33</v>
      </c>
      <c r="D14" t="s">
        <v>20</v>
      </c>
      <c r="E14" s="12">
        <v>43134.694328703707</v>
      </c>
      <c r="F14" s="12">
        <v>43134.720104166663</v>
      </c>
      <c r="G14" s="15">
        <v>1.1574074074074075E-4</v>
      </c>
      <c r="H14" s="15">
        <v>2.5775462956517003E-2</v>
      </c>
      <c r="I14" s="15">
        <v>3.6667162699226992E-3</v>
      </c>
      <c r="J14">
        <v>7</v>
      </c>
    </row>
    <row r="15" spans="1:11" x14ac:dyDescent="0.25">
      <c r="A15" t="s">
        <v>30</v>
      </c>
      <c r="B15" t="s">
        <v>24</v>
      </c>
      <c r="C15" t="s">
        <v>33</v>
      </c>
      <c r="D15" t="s">
        <v>19</v>
      </c>
      <c r="E15" s="12">
        <v>43134.694953703707</v>
      </c>
      <c r="F15" s="12">
        <v>43134.720266203702</v>
      </c>
      <c r="G15" s="15">
        <v>0</v>
      </c>
      <c r="H15" s="15">
        <v>2.5312499994470272E-2</v>
      </c>
      <c r="I15" s="15">
        <v>1.2661574073717929E-2</v>
      </c>
      <c r="J15">
        <v>2</v>
      </c>
      <c r="K15" t="s">
        <v>37</v>
      </c>
    </row>
    <row r="16" spans="1:11" x14ac:dyDescent="0.25">
      <c r="A16" t="s">
        <v>30</v>
      </c>
      <c r="B16" t="s">
        <v>24</v>
      </c>
      <c r="C16" t="s">
        <v>33</v>
      </c>
      <c r="D16" t="s">
        <v>23</v>
      </c>
      <c r="E16" s="12">
        <v>43134.5705787037</v>
      </c>
      <c r="F16" s="12">
        <v>43134.722384259258</v>
      </c>
      <c r="G16" s="15">
        <v>5.7638888888888887E-3</v>
      </c>
      <c r="H16" s="15">
        <v>0.15180555555707542</v>
      </c>
      <c r="I16" s="15">
        <v>2.9209398148206268E-2</v>
      </c>
      <c r="J16">
        <v>5</v>
      </c>
      <c r="K16" t="s">
        <v>35</v>
      </c>
    </row>
    <row r="17" spans="1:11" x14ac:dyDescent="0.25">
      <c r="A17" t="s">
        <v>30</v>
      </c>
      <c r="B17" t="s">
        <v>24</v>
      </c>
      <c r="C17" t="s">
        <v>33</v>
      </c>
      <c r="D17" t="s">
        <v>21</v>
      </c>
      <c r="E17" s="12">
        <v>43134.691666666666</v>
      </c>
      <c r="F17" s="12">
        <v>43134.722395833334</v>
      </c>
      <c r="G17" s="15">
        <v>5.7870370370370373E-5</v>
      </c>
      <c r="H17" s="15">
        <v>3.0729166668606922E-2</v>
      </c>
      <c r="I17" s="15">
        <v>7.6701967588801547E-3</v>
      </c>
      <c r="J17">
        <v>4</v>
      </c>
    </row>
    <row r="18" spans="1:11" x14ac:dyDescent="0.25">
      <c r="A18" t="s">
        <v>30</v>
      </c>
      <c r="B18" t="s">
        <v>24</v>
      </c>
      <c r="C18" t="s">
        <v>33</v>
      </c>
      <c r="D18" t="s">
        <v>22</v>
      </c>
      <c r="E18" s="12">
        <v>43134.69263888889</v>
      </c>
      <c r="F18" s="12">
        <v>43134.722418981481</v>
      </c>
      <c r="G18" s="15">
        <v>4.6296296296296294E-5</v>
      </c>
      <c r="H18" s="15">
        <v>2.9780092590954155E-2</v>
      </c>
      <c r="I18" s="15">
        <v>2.478549382726613E-3</v>
      </c>
      <c r="J18">
        <v>12</v>
      </c>
      <c r="K18" t="s">
        <v>36</v>
      </c>
    </row>
    <row r="19" spans="1:11" x14ac:dyDescent="0.25">
      <c r="A19" t="s">
        <v>30</v>
      </c>
      <c r="B19" t="s">
        <v>24</v>
      </c>
      <c r="C19" t="s">
        <v>33</v>
      </c>
      <c r="D19" t="s">
        <v>20</v>
      </c>
      <c r="E19" s="12">
        <v>43134.694328703707</v>
      </c>
      <c r="F19" s="12">
        <v>43134.722453703704</v>
      </c>
      <c r="G19" s="15">
        <v>1.1574074074074075E-4</v>
      </c>
      <c r="H19" s="15">
        <v>2.8124999997089617E-2</v>
      </c>
      <c r="I19" s="15">
        <v>4.0016369038894679E-3</v>
      </c>
      <c r="J19">
        <v>7</v>
      </c>
    </row>
    <row r="20" spans="1:11" x14ac:dyDescent="0.25">
      <c r="A20" t="s">
        <v>30</v>
      </c>
      <c r="B20" t="s">
        <v>24</v>
      </c>
      <c r="C20" t="s">
        <v>33</v>
      </c>
      <c r="D20" t="s">
        <v>19</v>
      </c>
      <c r="E20" s="12">
        <v>43134.694953703707</v>
      </c>
      <c r="F20" s="12">
        <v>43134.72246527778</v>
      </c>
      <c r="G20" s="15">
        <v>4.6296296296296294E-5</v>
      </c>
      <c r="H20" s="15">
        <v>2.7511574073287193E-2</v>
      </c>
      <c r="I20" s="15">
        <v>1.3734548609090442E-2</v>
      </c>
      <c r="J20">
        <v>2</v>
      </c>
      <c r="K20" t="s">
        <v>37</v>
      </c>
    </row>
    <row r="21" spans="1:11" x14ac:dyDescent="0.25">
      <c r="A21" t="s">
        <v>30</v>
      </c>
      <c r="B21" t="s">
        <v>24</v>
      </c>
      <c r="C21" t="s">
        <v>33</v>
      </c>
      <c r="D21" t="s">
        <v>23</v>
      </c>
      <c r="E21" s="12">
        <v>43134.723090277781</v>
      </c>
      <c r="F21" s="12">
        <v>43134.723391203705</v>
      </c>
      <c r="H21" s="15">
        <v>3.0092592351138592E-4</v>
      </c>
      <c r="J21">
        <v>4</v>
      </c>
    </row>
    <row r="22" spans="1:11" x14ac:dyDescent="0.25">
      <c r="A22" t="s">
        <v>30</v>
      </c>
      <c r="B22" t="s">
        <v>24</v>
      </c>
      <c r="C22" t="s">
        <v>33</v>
      </c>
      <c r="D22" t="s">
        <v>23</v>
      </c>
      <c r="E22" s="12">
        <v>43134.723090277781</v>
      </c>
      <c r="F22" s="12">
        <v>43134.724270833336</v>
      </c>
      <c r="G22" s="15">
        <v>1.273148148148148E-4</v>
      </c>
      <c r="H22" s="15">
        <v>1.1805555550381541E-3</v>
      </c>
      <c r="I22" s="15">
        <v>2.6403356439981573E-4</v>
      </c>
      <c r="J22">
        <v>4</v>
      </c>
    </row>
    <row r="23" spans="1:11" x14ac:dyDescent="0.25">
      <c r="A23" t="s">
        <v>30</v>
      </c>
      <c r="B23" t="s">
        <v>24</v>
      </c>
      <c r="C23" t="s">
        <v>33</v>
      </c>
      <c r="D23" t="s">
        <v>23</v>
      </c>
      <c r="E23" s="12">
        <v>43134.726168981484</v>
      </c>
      <c r="F23" s="12">
        <v>43134.726203703707</v>
      </c>
      <c r="G23" s="15">
        <v>1.273148148148148E-4</v>
      </c>
      <c r="H23" s="15">
        <v>3.4722223062999547E-5</v>
      </c>
      <c r="I23" s="15">
        <v>0</v>
      </c>
      <c r="J23">
        <v>4</v>
      </c>
    </row>
    <row r="24" spans="1:11" x14ac:dyDescent="0.25">
      <c r="A24" t="s">
        <v>30</v>
      </c>
      <c r="B24" t="s">
        <v>24</v>
      </c>
      <c r="C24" t="s">
        <v>33</v>
      </c>
      <c r="D24" t="s">
        <v>23</v>
      </c>
      <c r="E24" s="12">
        <v>43134.726307870369</v>
      </c>
      <c r="F24" s="12">
        <v>43134.7266087963</v>
      </c>
      <c r="G24" s="15">
        <v>1.273148148148148E-4</v>
      </c>
      <c r="H24" s="15">
        <v>3.0092593078734353E-4</v>
      </c>
      <c r="I24" s="15">
        <v>4.6151621227855452E-5</v>
      </c>
      <c r="J24">
        <v>4</v>
      </c>
    </row>
    <row r="25" spans="1:11" x14ac:dyDescent="0.25">
      <c r="A25" t="s">
        <v>30</v>
      </c>
      <c r="B25" t="s">
        <v>24</v>
      </c>
      <c r="C25" t="s">
        <v>33</v>
      </c>
      <c r="D25" t="s">
        <v>23</v>
      </c>
      <c r="E25" s="12">
        <v>43134.726712962962</v>
      </c>
      <c r="F25" s="12">
        <v>43134.727361111109</v>
      </c>
      <c r="G25" s="15">
        <v>1.273148148148148E-4</v>
      </c>
      <c r="H25" s="15">
        <v>6.4814814686542377E-4</v>
      </c>
      <c r="I25" s="15">
        <v>1.3269675962941687E-4</v>
      </c>
      <c r="J25">
        <v>4</v>
      </c>
    </row>
    <row r="26" spans="1:11" x14ac:dyDescent="0.25">
      <c r="A26" t="s">
        <v>30</v>
      </c>
      <c r="B26" t="s">
        <v>24</v>
      </c>
      <c r="C26" t="s">
        <v>33</v>
      </c>
      <c r="D26">
        <v>23</v>
      </c>
      <c r="E26" s="12">
        <v>43134.727939814817</v>
      </c>
      <c r="F26" s="12">
        <v>43134.727962962963</v>
      </c>
      <c r="G26" s="15">
        <v>1.273148148148148E-4</v>
      </c>
      <c r="H26" s="15">
        <v>2.314814628334716E-5</v>
      </c>
      <c r="I26" s="15">
        <v>-8.4311956605231515E-7</v>
      </c>
      <c r="J26">
        <v>123</v>
      </c>
    </row>
    <row r="27" spans="1:11" x14ac:dyDescent="0.25">
      <c r="A27" t="s">
        <v>30</v>
      </c>
      <c r="B27" t="s">
        <v>24</v>
      </c>
      <c r="C27" t="s">
        <v>33</v>
      </c>
      <c r="D27">
        <v>12</v>
      </c>
      <c r="E27" s="18">
        <v>1</v>
      </c>
      <c r="F27" s="12">
        <v>43134.728530092594</v>
      </c>
      <c r="G27" s="15">
        <v>1.273148148148148E-4</v>
      </c>
      <c r="H27" s="15">
        <v>43133.728530092594</v>
      </c>
      <c r="I27" s="15">
        <v>3594.4773673128857</v>
      </c>
      <c r="J27">
        <v>12</v>
      </c>
    </row>
    <row r="28" spans="1:11" x14ac:dyDescent="0.25">
      <c r="A28" t="s">
        <v>30</v>
      </c>
      <c r="B28" t="s">
        <v>24</v>
      </c>
      <c r="C28" t="s">
        <v>33</v>
      </c>
      <c r="D28">
        <v>1</v>
      </c>
      <c r="E28" s="18">
        <v>3</v>
      </c>
      <c r="F28" s="12">
        <v>43134.729004629633</v>
      </c>
      <c r="H28" s="15">
        <v>43131.729004629633</v>
      </c>
      <c r="I28" s="15">
        <v>0</v>
      </c>
      <c r="J28">
        <v>2</v>
      </c>
    </row>
    <row r="29" spans="1:11" x14ac:dyDescent="0.25">
      <c r="A29" t="s">
        <v>30</v>
      </c>
      <c r="B29" t="s">
        <v>24</v>
      </c>
      <c r="C29" t="s">
        <v>33</v>
      </c>
      <c r="D29">
        <v>1</v>
      </c>
      <c r="E29" s="12">
        <v>43134.563333333332</v>
      </c>
      <c r="F29" s="12">
        <v>43134.730821759258</v>
      </c>
      <c r="G29" s="15">
        <v>6.898148148148148E-3</v>
      </c>
      <c r="H29" s="15">
        <v>0.16748842592642177</v>
      </c>
      <c r="I29" s="15">
        <v>8.029930555721404E-2</v>
      </c>
      <c r="J29">
        <v>2</v>
      </c>
    </row>
    <row r="30" spans="1:11" x14ac:dyDescent="0.25">
      <c r="A30" t="s">
        <v>30</v>
      </c>
      <c r="B30" t="s">
        <v>24</v>
      </c>
      <c r="C30" t="s">
        <v>33</v>
      </c>
      <c r="D30">
        <v>1</v>
      </c>
      <c r="E30" s="12">
        <v>43134.647673611114</v>
      </c>
      <c r="F30" s="12">
        <v>43134.732407407406</v>
      </c>
      <c r="G30" s="15">
        <v>7.4652777777777781E-3</v>
      </c>
      <c r="H30" s="15">
        <v>8.4733796291402541E-2</v>
      </c>
      <c r="I30" s="15">
        <v>3.3599738323437343E-3</v>
      </c>
      <c r="J30">
        <v>23</v>
      </c>
    </row>
    <row r="31" spans="1:11" x14ac:dyDescent="0.25">
      <c r="A31" t="s">
        <v>30</v>
      </c>
      <c r="B31" t="s">
        <v>24</v>
      </c>
      <c r="C31" t="s">
        <v>33</v>
      </c>
      <c r="D31" t="s">
        <v>20</v>
      </c>
      <c r="E31" s="12">
        <v>43134.694328703707</v>
      </c>
      <c r="F31" s="12">
        <v>43134.73474537037</v>
      </c>
      <c r="G31" s="15">
        <v>8.8425925925925929E-3</v>
      </c>
      <c r="H31" s="15">
        <v>4.0416666663077194E-2</v>
      </c>
      <c r="I31" s="15">
        <v>4.5107804233545223E-3</v>
      </c>
      <c r="J31">
        <v>7</v>
      </c>
    </row>
  </sheetData>
  <mergeCells count="1">
    <mergeCell ref="A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Front</vt:lpstr>
      <vt:lpstr>User Info</vt:lpstr>
      <vt:lpstr>Team</vt:lpstr>
      <vt:lpstr>MasterDB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 Yankov</dc:creator>
  <cp:lastModifiedBy>Georgi Yankov</cp:lastModifiedBy>
  <dcterms:created xsi:type="dcterms:W3CDTF">2018-02-03T08:02:36Z</dcterms:created>
  <dcterms:modified xsi:type="dcterms:W3CDTF">2018-02-03T15:38:33Z</dcterms:modified>
</cp:coreProperties>
</file>